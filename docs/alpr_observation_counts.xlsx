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 counts" sheetId="1" state="visible" r:id="rId1"/>
    <sheet xmlns:r="http://schemas.openxmlformats.org/officeDocument/2006/relationships" name="Checked - no count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'Observation counts'!$A$1:$P$32</definedName>
    <definedName name="_xlnm._FilterDatabase" localSheetId="1" hidden="1">'Checked - no counts'!$A$1:$F$15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563C1"/>
      <u val="single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2" fontId="3" fillId="3" borderId="0" applyAlignment="1" pivotButton="0" quotePrefix="0" xfId="0">
      <alignment vertical="top" wrapText="1"/>
    </xf>
    <xf numFmtId="3" fontId="3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G1" authorId="0" shapeId="0">
      <text>
        <t>Days in the period the count covers. Approximate where the source gives months (e.g., 4.5 months = 137). Blank where the source gives no period.</t>
      </text>
    </comment>
    <comment ref="H1" authorId="0" shapeId="0">
      <text>
        <t>Captures / days. My arithmetic, not a court finding, unless the court states a rate (see Count as stated).</t>
      </text>
    </comment>
    <comment ref="M1" authorId="0" shapeId="0">
      <text>
        <t>a = the opinion itself; b = briefs/expert reports/filings; c = press or advocacy (NOT a court finding).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upremecourt.gov/opinions/17pdf/16-402_h315.pdf" TargetMode="External" Id="rId1"/><Relationship Type="http://schemas.openxmlformats.org/officeDocument/2006/relationships/hyperlink" Target="https://ij.org/wp-content/uploads/2026/01/Order-1-27-26.pdf" TargetMode="External" Id="rId2"/><Relationship Type="http://schemas.openxmlformats.org/officeDocument/2006/relationships/hyperlink" Target="https://ij.org/wp-content/uploads/2026/01/Order-1-27-26.pdf" TargetMode="External" Id="rId3"/><Relationship Type="http://schemas.openxmlformats.org/officeDocument/2006/relationships/hyperlink" Target="https://www.nbcnews.com/tech/security/virginia-police-used-flock-cameras-track-driver-safety-lawsuit-surveil-rcna230399" TargetMode="External" Id="rId4"/><Relationship Type="http://schemas.openxmlformats.org/officeDocument/2006/relationships/hyperlink" Target="https://storage.courtlistener.com/recap/gov.uscourts.oknd.76981/gov.uscourts.oknd.76981.62.0.pdf" TargetMode="External" Id="rId5"/><Relationship Type="http://schemas.openxmlformats.org/officeDocument/2006/relationships/hyperlink" Target="https://www.govinfo.gov/content/pkg/USCOURTS-pawd-2_18-cr-00292/pdf/USCOURTS-pawd-2_18-cr-00292-19.pdf" TargetMode="External" Id="rId6"/><Relationship Type="http://schemas.openxmlformats.org/officeDocument/2006/relationships/hyperlink" Target="https://caselaw.findlaw.com/court/spr-jud-crt-mas-bar/2060202.html" TargetMode="External" Id="rId7"/><Relationship Type="http://schemas.openxmlformats.org/officeDocument/2006/relationships/hyperlink" Target="https://www.govinfo.gov/content/pkg/USCOURTS-ohnd-1_22-cr-00615/pdf/USCOURTS-ohnd-1_22-cr-00615-0.pdf" TargetMode="External" Id="rId8"/><Relationship Type="http://schemas.openxmlformats.org/officeDocument/2006/relationships/hyperlink" Target="https://www.govinfo.gov/content/pkg/USCOURTS-ilnd-1_19-cr-00949/pdf/USCOURTS-ilnd-1_19-cr-00949-0.pdf" TargetMode="External" Id="rId9"/><Relationship Type="http://schemas.openxmlformats.org/officeDocument/2006/relationships/hyperlink" Target="https://vscc.virginia.gov/2024/Nov14mtg/VSCC%20ALPR%20VA%20Court%20Opinions%20FINAL%20-%20full%20opinions.pdf" TargetMode="External" Id="rId10"/><Relationship Type="http://schemas.openxmlformats.org/officeDocument/2006/relationships/hyperlink" Target="https://azcourts.gov/Portals/0/OpinionFiles/Div1/2024/1%20CA-CR%2022-0387%20STATE%20v.%20SIDOR.pdf" TargetMode="External" Id="rId11"/><Relationship Type="http://schemas.openxmlformats.org/officeDocument/2006/relationships/hyperlink" Target="https://www.govinfo.gov/content/pkg/USCOURTS-ned-8_23-cr-00098/pdf/USCOURTS-ned-8_23-cr-00098-7.pdf" TargetMode="External" Id="rId12"/><Relationship Type="http://schemas.openxmlformats.org/officeDocument/2006/relationships/hyperlink" Target="https://ecf.ksd.uscourts.gov/cgi-bin/show_public_doc?2024cr10010-48+=" TargetMode="External" Id="rId13"/><Relationship Type="http://schemas.openxmlformats.org/officeDocument/2006/relationships/hyperlink" Target="https://media.ca11.uscourts.gov/opinions/pub/files/202211159.pdf" TargetMode="External" Id="rId14"/><Relationship Type="http://schemas.openxmlformats.org/officeDocument/2006/relationships/hyperlink" Target="https://www.vacourts.gov/static/opinions/opncavwp/0737251.pdf" TargetMode="External" Id="rId15"/><Relationship Type="http://schemas.openxmlformats.org/officeDocument/2006/relationships/hyperlink" Target="https://reason.com/volokh/2026/09/16/use-of-flock-cameras-is-not-a-fourth-amendment-search-district-court-rules/" TargetMode="External" Id="rId16"/><Relationship Type="http://schemas.openxmlformats.org/officeDocument/2006/relationships/hyperlink" Target="https://www.govinfo.gov/content/pkg/USCOURTS-utd-4_23-cr-00049/pdf/USCOURTS-utd-4_23-cr-00049-0.pdf" TargetMode="External" Id="rId17"/><Relationship Type="http://schemas.openxmlformats.org/officeDocument/2006/relationships/hyperlink" Target="https://www.sccourts.org/media/opinions/unpublishedopinions/HTMLFiles/COA/2026-UP-323.pdf" TargetMode="External" Id="rId18"/><Relationship Type="http://schemas.openxmlformats.org/officeDocument/2006/relationships/hyperlink" Target="https://www.govinfo.gov/content/pkg/USCOURTS-okwd-5_25-cr-00188/pdf/USCOURTS-okwd-5_25-cr-00188-0.pdf" TargetMode="External" Id="rId19"/><Relationship Type="http://schemas.openxmlformats.org/officeDocument/2006/relationships/hyperlink" Target="https://www4.courts.ca.gov/opinions/archive/A150198.PDF" TargetMode="External" Id="rId20"/><Relationship Type="http://schemas.openxmlformats.org/officeDocument/2006/relationships/hyperlink" Target="https://cdn.ca9.uscourts.gov/datastore/opinions/2020/05/04/18-10341.pdf" TargetMode="External" Id="rId21"/><Relationship Type="http://schemas.openxmlformats.org/officeDocument/2006/relationships/hyperlink" Target="https://www.govinfo.gov/content/pkg/USCOURTS-njd-2_21-cr-00645/pdf/USCOURTS-njd-2_21-cr-00645-0.pdf" TargetMode="External" Id="rId22"/><Relationship Type="http://schemas.openxmlformats.org/officeDocument/2006/relationships/hyperlink" Target="https://case-law.vlex.com/vid/united-states-v-toombs-1049660063" TargetMode="External" Id="rId23"/><Relationship Type="http://schemas.openxmlformats.org/officeDocument/2006/relationships/hyperlink" Target="https://www.vacourts.gov/static/opinions/opncavwp/1912241.pdf" TargetMode="External" Id="rId24"/><Relationship Type="http://schemas.openxmlformats.org/officeDocument/2006/relationships/hyperlink" Target="https://www.courts.wa.gov/opinions/pdf/407322_unp.pdf" TargetMode="External" Id="rId25"/><Relationship Type="http://schemas.openxmlformats.org/officeDocument/2006/relationships/hyperlink" Target="https://www.ca5.uscourts.gov/opinions/pub/25/25-60163-CR0.pdf" TargetMode="External" Id="rId26"/><Relationship Type="http://schemas.openxmlformats.org/officeDocument/2006/relationships/hyperlink" Target="https://www.govinfo.gov/content/pkg/USCOURTS-cand-3_18-cr-00568/pdf/USCOURTS-cand-3_18-cr-00568-2.pdf" TargetMode="External" Id="rId27"/><Relationship Type="http://schemas.openxmlformats.org/officeDocument/2006/relationships/hyperlink" Target="https://www.govinfo.gov/content/pkg/USCOURTS-oked-6_25-cr-00189/pdf/USCOURTS-oked-6_25-cr-00189-0.pdf" TargetMode="External" Id="rId28"/><Relationship Type="http://schemas.openxmlformats.org/officeDocument/2006/relationships/hyperlink" Target="https://nclalegal.org/wp-content/uploads/2023/02/PRESS-RELEASE_Schemel-v.-Marco-Island_complaint_Final.pdf" TargetMode="External" Id="rId2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vscc.virginia.gov/2024/Nov14mtg/VSCC%20ALPR%20VA%20Court%20Opinions%20FINAL%20-%20full%20opinions.pdf" TargetMode="External" Id="rId1"/><Relationship Type="http://schemas.openxmlformats.org/officeDocument/2006/relationships/hyperlink" Target="https://cases.justia.com/federal/district-courts/illinois/ilndce/1:2024cv04435/459495/41/0.pdf" TargetMode="External" Id="rId2"/><Relationship Type="http://schemas.openxmlformats.org/officeDocument/2006/relationships/hyperlink" Target="https://www.govinfo.gov/content/pkg/USCOURTS-laed-2_23-cr-00131/pdf/USCOURTS-laed-2_23-cr-00131-0.pdf" TargetMode="External" Id="rId3"/><Relationship Type="http://schemas.openxmlformats.org/officeDocument/2006/relationships/hyperlink" Target="https://cases.justia.com/pennsylvania/superior-court/2023-2209-eda-2021.pdf" TargetMode="External" Id="rId4"/><Relationship Type="http://schemas.openxmlformats.org/officeDocument/2006/relationships/hyperlink" Target="https://caselaw.findlaw.com/court/ky-supreme-court/1889377.html" TargetMode="External" Id="rId5"/><Relationship Type="http://schemas.openxmlformats.org/officeDocument/2006/relationships/hyperlink" Target="https://caselaw.findlaw.com/court/ga-court-of-appeals/1631657.html" TargetMode="External" Id="rId6"/><Relationship Type="http://schemas.openxmlformats.org/officeDocument/2006/relationships/hyperlink" Target="https://law.justia.com/cases/texas/ninth-court-of-appeals/2020/09-19-00119-cr.html" TargetMode="External" Id="rId7"/><Relationship Type="http://schemas.openxmlformats.org/officeDocument/2006/relationships/hyperlink" Target="https://nclalegal.org/case/raul-mas-canosa-v-city-of-coral-gables/" TargetMode="External" Id="rId8"/><Relationship Type="http://schemas.openxmlformats.org/officeDocument/2006/relationships/hyperlink" Target="https://www.courtlistener.com/docket/73192632/tan-v-city-of-san-jose/" TargetMode="External" Id="rId9"/><Relationship Type="http://schemas.openxmlformats.org/officeDocument/2006/relationships/hyperlink" Target="https://epic.org/wp-content/uploads/2025/02/Schmidt-Order-Denying-MTD-.pdf" TargetMode="External" Id="rId10"/><Relationship Type="http://schemas.openxmlformats.org/officeDocument/2006/relationships/hyperlink" Target="https://vscc.virginia.gov/2024/Nov14mtg/VSCC%20ALPR%20VA%20Court%20Opinions%20FINAL%20-%20full%20opinions.pdf" TargetMode="External" Id="rId11"/><Relationship Type="http://schemas.openxmlformats.org/officeDocument/2006/relationships/hyperlink" Target="https://www.scag.gov/media/lfchsn1s/slaybaugh-amicus__as-filed.pd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2" customWidth="1" min="4" max="4"/>
    <col width="26" customWidth="1" min="5" max="5"/>
    <col width="11" customWidth="1" min="6" max="6"/>
    <col width="10" customWidth="1" min="7" max="7"/>
    <col width="10" customWidth="1" min="8" max="8"/>
    <col width="12" customWidth="1" min="9" max="9"/>
    <col width="40" customWidth="1" min="10" max="10"/>
    <col width="34" customWidth="1" min="11" max="11"/>
    <col width="30" customWidth="1" min="12" max="12"/>
    <col width="16" customWidth="1" min="13" max="13"/>
    <col width="14" customWidth="1" min="14" max="14"/>
    <col width="40" customWidth="1" min="15" max="15"/>
    <col width="40" customWidth="1" min="16" max="16"/>
  </cols>
  <sheetData>
    <row r="1">
      <c r="A1" s="1" t="inlineStr">
        <is>
          <t>Case</t>
        </is>
      </c>
      <c r="B1" s="1" t="inlineStr">
        <is>
          <t>Court</t>
        </is>
      </c>
      <c r="C1" s="1" t="inlineStr">
        <is>
          <t>Docket / cite</t>
        </is>
      </c>
      <c r="D1" s="1" t="inlineStr">
        <is>
          <t>Decision date</t>
        </is>
      </c>
      <c r="E1" s="1" t="inlineStr">
        <is>
          <t>Outcome</t>
        </is>
      </c>
      <c r="F1" s="1" t="inlineStr">
        <is>
          <t>Captures (count)</t>
        </is>
      </c>
      <c r="G1" s="1" t="inlineStr">
        <is>
          <t>Period (days)</t>
        </is>
      </c>
      <c r="H1" s="1" t="inlineStr">
        <is>
          <t>Per day [calc]</t>
        </is>
      </c>
      <c r="I1" s="1" t="inlineStr">
        <is>
          <t>Times sparser than Carpenter [calc]</t>
        </is>
      </c>
      <c r="J1" s="1" t="inlineStr">
        <is>
          <t>Count as stated</t>
        </is>
      </c>
      <c r="K1" s="1" t="inlineStr">
        <is>
          <t>Cameras / retention</t>
        </is>
      </c>
      <c r="L1" s="1" t="inlineStr">
        <is>
          <t>Other density details</t>
        </is>
      </c>
      <c r="M1" s="1" t="inlineStr">
        <is>
          <t>Source tier</t>
        </is>
      </c>
      <c r="N1" s="1" t="inlineStr">
        <is>
          <t>Pin cite</t>
        </is>
      </c>
      <c r="O1" s="1" t="inlineStr">
        <is>
          <t>Flags / conflicts</t>
        </is>
      </c>
      <c r="P1" s="1" t="inlineStr">
        <is>
          <t>URL</t>
        </is>
      </c>
    </row>
    <row r="2" customFormat="1" s="2">
      <c r="A2" s="3" t="inlineStr">
        <is>
          <t>Carpenter v. United States (BENCHMARK)</t>
        </is>
      </c>
      <c r="B2" s="3" t="inlineStr">
        <is>
          <t>U.S. Supreme Court</t>
        </is>
      </c>
      <c r="C2" s="3" t="inlineStr">
        <is>
          <t>No. 16-402</t>
        </is>
      </c>
      <c r="D2" s="3" t="inlineStr">
        <is>
          <t>2018-06-22</t>
        </is>
      </c>
      <c r="E2" s="3" t="inlineStr">
        <is>
          <t>Search (CSLI)</t>
        </is>
      </c>
      <c r="F2" s="3" t="n">
        <v>12898</v>
      </c>
      <c r="G2" s="3" t="n">
        <v>127</v>
      </c>
      <c r="H2" s="4">
        <f>IF(AND(ISNUMBER(F2),ISNUMBER(G2),G2&gt;0),F2/G2,"")</f>
        <v/>
      </c>
      <c r="I2" s="5" t="inlineStr">
        <is>
          <t>benchmark</t>
        </is>
      </c>
      <c r="J2" s="3" t="inlineStr">
        <is>
          <t>12,898 location points over 127 days</t>
        </is>
      </c>
      <c r="K2" s="3" t="inlineStr">
        <is>
          <t>Cell-site records</t>
        </is>
      </c>
      <c r="L2" s="3" t="inlineStr"/>
      <c r="M2" s="3" t="inlineStr">
        <is>
          <t>a</t>
        </is>
      </c>
      <c r="N2" s="3" t="inlineStr"/>
      <c r="O2" s="3" t="inlineStr">
        <is>
          <t>Benchmark row; other rows compare to this one</t>
        </is>
      </c>
      <c r="P2" s="6" t="inlineStr">
        <is>
          <t>https://www.supremecourt.gov/opinions/17pdf/16-402_h315.pdf</t>
        </is>
      </c>
    </row>
    <row r="3">
      <c r="A3" s="7" t="inlineStr">
        <is>
          <t>Schmidt v. City of Norfolk (Schmidt car)</t>
        </is>
      </c>
      <c r="B3" s="7" t="inlineStr">
        <is>
          <t>E.D. Va.</t>
        </is>
      </c>
      <c r="C3" s="7" t="inlineStr">
        <is>
          <t>2:24-cv-621 (ECF 191); 4th Cir. 26-1227</t>
        </is>
      </c>
      <c r="D3" s="7" t="inlineStr">
        <is>
          <t>2026-01-27</t>
        </is>
      </c>
      <c r="E3" s="7" t="inlineStr">
        <is>
          <t>Not a search; SJ for city; on appeal</t>
        </is>
      </c>
      <c r="F3" s="7" t="n">
        <v>475</v>
      </c>
      <c r="G3" s="7" t="n">
        <v>137</v>
      </c>
      <c r="H3" s="8">
        <f>IF(AND(ISNUMBER(F3),ISNUMBER(G3),G3&gt;0),F3/G3,"")</f>
        <v/>
      </c>
      <c r="I3" s="9">
        <f>IF(AND(ISNUMBER(H3),H3&gt;0),$H$2/H3,"")</f>
        <v/>
      </c>
      <c r="J3" s="7" t="inlineStr">
        <is>
          <t>~475 photos in ~4.5 months; court: full-plate matches 2 to 3 times/day</t>
        </is>
      </c>
      <c r="K3" s="7" t="inlineStr">
        <is>
          <t>172-176 Flock cameras at 75 locations; 21-day retention (was 30)</t>
        </is>
      </c>
      <c r="L3" s="7" t="inlineStr">
        <is>
          <t>Avg 3.5 mi and 45-50 min between full-plate captures; 'top 5%' of vehicles</t>
        </is>
      </c>
      <c r="M3" s="7" t="inlineStr">
        <is>
          <t>a (citing ECF 108, 113, 140)</t>
        </is>
      </c>
      <c r="N3" s="7" t="inlineStr">
        <is>
          <t>p. 10, pp. 38-39</t>
        </is>
      </c>
      <c r="O3" s="7" t="inlineStr">
        <is>
          <t>Counts disputed (undercount vs. duplicates). Days approx. (4.5 mo). Conflicts with press 526 figure</t>
        </is>
      </c>
      <c r="P3" s="10" t="inlineStr">
        <is>
          <t>https://ij.org/wp-content/uploads/2026/01/Order-1-27-26.pdf</t>
        </is>
      </c>
    </row>
    <row r="4">
      <c r="A4" s="7" t="inlineStr">
        <is>
          <t>Schmidt v. City of Norfolk (Arrington car)</t>
        </is>
      </c>
      <c r="B4" s="7" t="inlineStr">
        <is>
          <t>E.D. Va.</t>
        </is>
      </c>
      <c r="C4" s="7" t="inlineStr">
        <is>
          <t>2:24-cv-621 (ECF 191)</t>
        </is>
      </c>
      <c r="D4" s="7" t="inlineStr">
        <is>
          <t>2026-01-27</t>
        </is>
      </c>
      <c r="E4" s="7" t="inlineStr">
        <is>
          <t>Not a search; SJ for city; on appeal</t>
        </is>
      </c>
      <c r="F4" s="7" t="n">
        <v>325</v>
      </c>
      <c r="G4" s="7" t="n">
        <v>137</v>
      </c>
      <c r="H4" s="8">
        <f>IF(AND(ISNUMBER(F4),ISNUMBER(G4),G4&gt;0),F4/G4,"")</f>
        <v/>
      </c>
      <c r="I4" s="9">
        <f>IF(AND(ISNUMBER(H4),H4&gt;0),$H$2/H4,"")</f>
        <v/>
      </c>
      <c r="J4" s="7" t="inlineStr">
        <is>
          <t>~325 photos in ~4.5 months</t>
        </is>
      </c>
      <c r="K4" s="7" t="inlineStr">
        <is>
          <t>Same as above</t>
        </is>
      </c>
      <c r="L4" s="7" t="inlineStr">
        <is>
          <t>Avg 2.5 mi between full-plate captures</t>
        </is>
      </c>
      <c r="M4" s="7" t="inlineStr">
        <is>
          <t>a</t>
        </is>
      </c>
      <c r="N4" s="7" t="inlineStr">
        <is>
          <t>p. 10</t>
        </is>
      </c>
      <c r="O4" s="7" t="inlineStr">
        <is>
          <t>Conflicts with press 849 figure; Arrington lower than Schmidt here, higher in press</t>
        </is>
      </c>
      <c r="P4" s="10" t="inlineStr">
        <is>
          <t>https://ij.org/wp-content/uploads/2026/01/Order-1-27-26.pdf</t>
        </is>
      </c>
    </row>
    <row r="5">
      <c r="A5" s="7" t="inlineStr">
        <is>
          <t>Schmidt v. City of Norfolk (Schmidt, press)</t>
        </is>
      </c>
      <c r="B5" s="7" t="inlineStr">
        <is>
          <t>E.D. Va.</t>
        </is>
      </c>
      <c r="C5" s="7" t="inlineStr">
        <is>
          <t>2:24-cv-621</t>
        </is>
      </c>
      <c r="D5" s="7" t="inlineStr"/>
      <c r="E5" s="7" t="inlineStr">
        <is>
          <t>(press figure)</t>
        </is>
      </c>
      <c r="F5" s="7" t="n">
        <v>526</v>
      </c>
      <c r="G5" s="7" t="n">
        <v>134</v>
      </c>
      <c r="H5" s="8">
        <f>IF(AND(ISNUMBER(F5),ISNUMBER(G5),G5&gt;0),F5/G5,"")</f>
        <v/>
      </c>
      <c r="I5" s="9">
        <f>IF(AND(ISNUMBER(H5),H5&gt;0),$H$2/H5,"")</f>
        <v/>
      </c>
      <c r="J5" s="7" t="inlineStr">
        <is>
          <t>526 captures Feb. 19-July 2</t>
        </is>
      </c>
      <c r="K5" s="7" t="inlineStr">
        <is>
          <t>176 Flock cameras</t>
        </is>
      </c>
      <c r="L5" s="7" t="inlineStr"/>
      <c r="M5" s="7" t="inlineStr">
        <is>
          <t>c (NBC News)</t>
        </is>
      </c>
      <c r="N5" s="7" t="inlineStr"/>
      <c r="O5" s="7" t="inlineStr">
        <is>
          <t>NOT a court finding; may be raw captures incl. duplicates (unconfirmed)</t>
        </is>
      </c>
      <c r="P5" s="10" t="inlineStr">
        <is>
          <t>https://www.nbcnews.com/tech/security/virginia-police-used-flock-cameras-track-driver-safety-lawsuit-surveil-rcna230399</t>
        </is>
      </c>
    </row>
    <row r="6">
      <c r="A6" s="7" t="inlineStr">
        <is>
          <t>Schmidt v. City of Norfolk (Arrington, press)</t>
        </is>
      </c>
      <c r="B6" s="7" t="inlineStr">
        <is>
          <t>E.D. Va.</t>
        </is>
      </c>
      <c r="C6" s="7" t="inlineStr">
        <is>
          <t>2:24-cv-621</t>
        </is>
      </c>
      <c r="D6" s="7" t="inlineStr"/>
      <c r="E6" s="7" t="inlineStr">
        <is>
          <t>(press figure)</t>
        </is>
      </c>
      <c r="F6" s="7" t="n">
        <v>849</v>
      </c>
      <c r="G6" s="7" t="n">
        <v>135</v>
      </c>
      <c r="H6" s="8">
        <f>IF(AND(ISNUMBER(F6),ISNUMBER(G6),G6&gt;0),F6/G6,"")</f>
        <v/>
      </c>
      <c r="I6" s="9">
        <f>IF(AND(ISNUMBER(H6),H6&gt;0),$H$2/H6,"")</f>
        <v/>
      </c>
      <c r="J6" s="7" t="inlineStr">
        <is>
          <t>849 captures Feb. 19-July 3</t>
        </is>
      </c>
      <c r="K6" s="7" t="inlineStr"/>
      <c r="L6" s="7" t="inlineStr"/>
      <c r="M6" s="7" t="inlineStr">
        <is>
          <t>c (secondary reports of NBC)</t>
        </is>
      </c>
      <c r="N6" s="7" t="inlineStr"/>
      <c r="O6" s="7" t="inlineStr">
        <is>
          <t>NOT a court finding; outlet not opened; unverified</t>
        </is>
      </c>
      <c r="P6" s="7" t="inlineStr"/>
    </row>
    <row r="7">
      <c r="A7" s="7" t="inlineStr">
        <is>
          <t>United States v. Kyle</t>
        </is>
      </c>
      <c r="B7" s="7" t="inlineStr">
        <is>
          <t>N.D. Okla.</t>
        </is>
      </c>
      <c r="C7" s="7" t="inlineStr">
        <is>
          <t>4:26-cr-189-SEH (Dkt. 62)</t>
        </is>
      </c>
      <c r="D7" s="7" t="inlineStr">
        <is>
          <t>2026-10-01</t>
        </is>
      </c>
      <c r="E7" s="7" t="inlineStr">
        <is>
          <t>SEARCH; suppression granted</t>
        </is>
      </c>
      <c r="F7" s="7" t="n">
        <v>50</v>
      </c>
      <c r="G7" s="7" t="n">
        <v>30</v>
      </c>
      <c r="H7" s="8">
        <f>IF(AND(ISNUMBER(F7),ISNUMBER(G7),G7&gt;0),F7/G7,"")</f>
        <v/>
      </c>
      <c r="I7" s="9">
        <f>IF(AND(ISNUMBER(H7),H7&gt;0),$H$2/H7,"")</f>
        <v/>
      </c>
      <c r="J7" s="7" t="inlineStr">
        <is>
          <t>'more than 50 individual records' over 'an entire month'</t>
        </is>
      </c>
      <c r="K7" s="7" t="inlineStr">
        <is>
          <t>Flock + VehicleManager; &gt;=30 days of data in many states</t>
        </is>
      </c>
      <c r="L7" s="7" t="inlineStr">
        <is>
          <t>Multistate ('across the country')</t>
        </is>
      </c>
      <c r="M7" s="7" t="inlineStr">
        <is>
          <t>a (citing ECF 50-3)</t>
        </is>
      </c>
      <c r="N7" s="7" t="inlineStr">
        <is>
          <t>pp. 3, 34, 37</t>
        </is>
      </c>
      <c r="O7" s="7" t="inlineStr">
        <is>
          <t>Count is a floor (&gt;50). Also suppressed on separate stop ground. Appeal window open</t>
        </is>
      </c>
      <c r="P7" s="10" t="inlineStr">
        <is>
          <t>https://storage.courtlistener.com/recap/gov.uscourts.oknd.76981/gov.uscourts.oknd.76981.62.0.pdf</t>
        </is>
      </c>
    </row>
    <row r="8">
      <c r="A8" s="7" t="inlineStr">
        <is>
          <t>United States v. Bowers</t>
        </is>
      </c>
      <c r="B8" s="7" t="inlineStr">
        <is>
          <t>W.D. Pa.</t>
        </is>
      </c>
      <c r="C8" s="7" t="inlineStr">
        <is>
          <t>2:18-cr-292</t>
        </is>
      </c>
      <c r="D8" s="7" t="inlineStr">
        <is>
          <t>2021-10-11</t>
        </is>
      </c>
      <c r="E8" s="7" t="inlineStr">
        <is>
          <t>Not a search (alt. good faith); denied</t>
        </is>
      </c>
      <c r="F8" s="7" t="n">
        <v>106</v>
      </c>
      <c r="G8" s="7" t="n">
        <v>139</v>
      </c>
      <c r="H8" s="8">
        <f>IF(AND(ISNUMBER(F8),ISNUMBER(G8),G8&gt;0),F8/G8,"")</f>
        <v/>
      </c>
      <c r="I8" s="9">
        <f>IF(AND(ISNUMBER(H8),H8&gt;0),$H$2/H8,"")</f>
        <v/>
      </c>
      <c r="J8" s="7" t="inlineStr">
        <is>
          <t>106 occasions at 33 locations, June 1-Oct. 18, 2018</t>
        </is>
      </c>
      <c r="K8" s="7" t="inlineStr">
        <is>
          <t>Allegheny County, 350+ ALPRs</t>
        </is>
      </c>
      <c r="L8" s="7" t="inlineStr">
        <is>
          <t>Video for 36 of 106 reads</t>
        </is>
      </c>
      <c r="M8" s="7" t="inlineStr">
        <is>
          <t>a</t>
        </is>
      </c>
      <c r="N8" s="7" t="inlineStr">
        <is>
          <t>p. 2</t>
        </is>
      </c>
      <c r="O8" s="7" t="inlineStr">
        <is>
          <t>Sidor describes it as 'five months'</t>
        </is>
      </c>
      <c r="P8" s="10" t="inlineStr">
        <is>
          <t>https://www.govinfo.gov/content/pkg/USCOURTS-pawd-2_18-cr-00292/pdf/USCOURTS-pawd-2_18-cr-00292-19.pdf</t>
        </is>
      </c>
    </row>
    <row r="9">
      <c r="A9" s="7" t="inlineStr">
        <is>
          <t>Commonwealth v. McCarthy</t>
        </is>
      </c>
      <c r="B9" s="7" t="inlineStr">
        <is>
          <t>Mass. SJC</t>
        </is>
      </c>
      <c r="C9" s="7" t="inlineStr">
        <is>
          <t>SJC-12750; 484 Mass. 493</t>
        </is>
      </c>
      <c r="D9" s="7" t="inlineStr">
        <is>
          <t>2020-04-16</t>
        </is>
      </c>
      <c r="E9" s="7" t="inlineStr">
        <is>
          <t>Not a search</t>
        </is>
      </c>
      <c r="F9" s="7" t="n">
        <v>48</v>
      </c>
      <c r="G9" s="7" t="n">
        <v>74</v>
      </c>
      <c r="H9" s="8">
        <f>IF(AND(ISNUMBER(F9),ISNUMBER(G9),G9&gt;0),F9/G9,"")</f>
        <v/>
      </c>
      <c r="I9" s="9">
        <f>IF(AND(ISNUMBER(H9),H9&gt;0),$H$2/H9,"")</f>
        <v/>
      </c>
      <c r="J9" s="7" t="inlineStr">
        <is>
          <t>Crossed onto Cape Cod on 19 days (Dec), 21 (Jan), 8 (Feb 1-12)</t>
        </is>
      </c>
      <c r="K9" s="7" t="inlineStr">
        <is>
          <t>4 cameras on 2 bridges; 1-year retention</t>
        </is>
      </c>
      <c r="L9" s="7" t="inlineStr">
        <is>
          <t>Some days had multiple trips (no total given)</t>
        </is>
      </c>
      <c r="M9" s="7" t="inlineStr">
        <is>
          <t>a</t>
        </is>
      </c>
      <c r="N9" s="7" t="inlineStr">
        <is>
          <t>Background</t>
        </is>
      </c>
      <c r="O9" s="7" t="inlineStr">
        <is>
          <t>Count is TRAVEL DAYS, not crossings; true crossings higher</t>
        </is>
      </c>
      <c r="P9" s="10" t="inlineStr">
        <is>
          <t>https://caselaw.findlaw.com/court/spr-jud-crt-mas-bar/2060202.html</t>
        </is>
      </c>
    </row>
    <row r="10">
      <c r="A10" s="7" t="inlineStr">
        <is>
          <t>United States v. Sturdivant</t>
        </is>
      </c>
      <c r="B10" s="7" t="inlineStr">
        <is>
          <t>N.D. Ohio</t>
        </is>
      </c>
      <c r="C10" s="7" t="inlineStr">
        <is>
          <t>1:22-cr-615</t>
        </is>
      </c>
      <c r="D10" s="7" t="inlineStr">
        <is>
          <t>2025-06-09</t>
        </is>
      </c>
      <c r="E10" s="7" t="inlineStr">
        <is>
          <t>Not a search ('close and difficult'); denied</t>
        </is>
      </c>
      <c r="F10" s="7" t="n">
        <v>26</v>
      </c>
      <c r="G10" s="7" t="n">
        <v>44</v>
      </c>
      <c r="H10" s="8">
        <f>IF(AND(ISNUMBER(F10),ISNUMBER(G10),G10&gt;0),F10/G10,"")</f>
        <v/>
      </c>
      <c r="I10" s="9">
        <f>IF(AND(ISNUMBER(H10),H10&gt;0),$H$2/H10,"")</f>
        <v/>
      </c>
      <c r="J10" s="7" t="inlineStr">
        <is>
          <t>26 unique photos, Nov. 13-Dec. 26, 2021</t>
        </is>
      </c>
      <c r="K10" s="7" t="inlineStr">
        <is>
          <t>1,636 Flock (667 law enforcement) + ~1,119 ELSAG; ELSAG 1-yr retention</t>
        </is>
      </c>
      <c r="L10" s="7" t="inlineStr">
        <is>
          <t>None before 6:30 a.m. or after 5:30 p.m.</t>
        </is>
      </c>
      <c r="M10" s="7" t="inlineStr">
        <is>
          <t>a</t>
        </is>
      </c>
      <c r="N10" s="7" t="inlineStr">
        <is>
          <t>pp. 5-7, 11-12, 25, 27</t>
        </is>
      </c>
      <c r="O10" s="7" t="inlineStr">
        <is>
          <t>Its survey of earlier cases cites Toombs as 'E.D. Ala.' (should be N.D. Ala.)</t>
        </is>
      </c>
      <c r="P10" s="10" t="inlineStr">
        <is>
          <t>https://www.govinfo.gov/content/pkg/USCOURTS-ohnd-1_22-cr-00615/pdf/USCOURTS-ohnd-1_22-cr-00615-0.pdf</t>
        </is>
      </c>
    </row>
    <row r="11">
      <c r="A11" s="7" t="inlineStr">
        <is>
          <t>United States v. Brown (N.D. Ill.)</t>
        </is>
      </c>
      <c r="B11" s="7" t="inlineStr">
        <is>
          <t>N.D. Ill.</t>
        </is>
      </c>
      <c r="C11" s="7" t="inlineStr">
        <is>
          <t>1:19-cr-949</t>
        </is>
      </c>
      <c r="D11" s="7" t="inlineStr">
        <is>
          <t>2021-10-26</t>
        </is>
      </c>
      <c r="E11" s="7" t="inlineStr">
        <is>
          <t>Denied</t>
        </is>
      </c>
      <c r="F11" s="7" t="n">
        <v>24</v>
      </c>
      <c r="G11" s="7" t="n">
        <v>70</v>
      </c>
      <c r="H11" s="8">
        <f>IF(AND(ISNUMBER(F11),ISNUMBER(G11),G11&gt;0),F11/G11,"")</f>
        <v/>
      </c>
      <c r="I11" s="9">
        <f>IF(AND(ISNUMBER(H11),H11&gt;0),$H$2/H11,"")</f>
        <v/>
      </c>
      <c r="J11" s="7" t="inlineStr">
        <is>
          <t>'about two dozen snapshots ... over ten weeks'</t>
        </is>
      </c>
      <c r="K11" s="7" t="inlineStr"/>
      <c r="L11" s="7" t="inlineStr"/>
      <c r="M11" s="7" t="inlineStr">
        <is>
          <t>a</t>
        </is>
      </c>
      <c r="N11" s="7" t="inlineStr"/>
      <c r="O11" s="7" t="inlineStr">
        <is>
          <t>Count approximate ('about two dozen')</t>
        </is>
      </c>
      <c r="P11" s="10" t="inlineStr">
        <is>
          <t>https://www.govinfo.gov/content/pkg/USCOURTS-ilnd-1_19-cr-00949/pdf/USCOURTS-ilnd-1_19-cr-00949-0.pdf</t>
        </is>
      </c>
    </row>
    <row r="12">
      <c r="A12" s="7" t="inlineStr">
        <is>
          <t>United States v. Martin</t>
        </is>
      </c>
      <c r="B12" s="7" t="inlineStr">
        <is>
          <t>E.D. Va.</t>
        </is>
      </c>
      <c r="C12" s="7" t="inlineStr">
        <is>
          <t>3:23-cr-150-REP; 753 F. Supp. 3d 454</t>
        </is>
      </c>
      <c r="D12" s="7" t="inlineStr">
        <is>
          <t>2024-10-11</t>
        </is>
      </c>
      <c r="E12" s="7" t="inlineStr">
        <is>
          <t>Not a search; denied</t>
        </is>
      </c>
      <c r="F12" s="7" t="n">
        <v>3</v>
      </c>
      <c r="G12" s="7" t="n">
        <v>30</v>
      </c>
      <c r="H12" s="8">
        <f>IF(AND(ISNUMBER(F12),ISNUMBER(G12),G12&gt;0),F12/G12,"")</f>
        <v/>
      </c>
      <c r="I12" s="9">
        <f>IF(AND(ISNUMBER(H12),H12&gt;0),$H$2/H12,"")</f>
        <v/>
      </c>
      <c r="J12" s="7" t="inlineStr">
        <is>
          <t>'only three photographs ... during the relevant 30-day period'</t>
        </is>
      </c>
      <c r="K12" s="7" t="inlineStr">
        <is>
          <t>Richmond 66 -&gt; 97-100 Flock cameras; 30-day retention; 24/7</t>
        </is>
      </c>
      <c r="L12" s="7" t="inlineStr">
        <is>
          <t>Separate description query returned 2,500-photo max (all vehicles)</t>
        </is>
      </c>
      <c r="M12" s="7" t="inlineStr">
        <is>
          <t>a</t>
        </is>
      </c>
      <c r="N12" s="7" t="inlineStr">
        <is>
          <t>753 F. Supp. 3d at 476</t>
        </is>
      </c>
      <c r="O12" s="7" t="inlineStr"/>
      <c r="P12" s="10" t="inlineStr">
        <is>
          <t>https://vscc.virginia.gov/2024/Nov14mtg/VSCC%20ALPR%20VA%20Court%20Opinions%20FINAL%20-%20full%20opinions.pdf</t>
        </is>
      </c>
    </row>
    <row r="13">
      <c r="A13" s="7" t="inlineStr">
        <is>
          <t>State v. Sidor</t>
        </is>
      </c>
      <c r="B13" s="7" t="inlineStr">
        <is>
          <t>Ariz. Ct. App.</t>
        </is>
      </c>
      <c r="C13" s="7" t="inlineStr">
        <is>
          <t>1 CA-CR 22-0387</t>
        </is>
      </c>
      <c r="D13" s="7" t="inlineStr">
        <is>
          <t>2024</t>
        </is>
      </c>
      <c r="E13" s="7" t="inlineStr">
        <is>
          <t>Not a search 'yet'; affirmed</t>
        </is>
      </c>
      <c r="F13" s="7" t="n">
        <v>4</v>
      </c>
      <c r="G13" s="7" t="n">
        <v>90</v>
      </c>
      <c r="H13" s="8">
        <f>IF(AND(ISNUMBER(F13),ISNUMBER(G13),G13&gt;0),F13/G13,"")</f>
        <v/>
      </c>
      <c r="I13" s="9">
        <f>IF(AND(ISNUMBER(H13),H13&gt;0),$H$2/H13,"")</f>
        <v/>
      </c>
      <c r="J13" s="7" t="inlineStr">
        <is>
          <t>Majority: trip at issue produced 'only one ALPR image'; dissent: 3 Arizona passes + 1 Kansas</t>
        </is>
      </c>
      <c r="K13" s="7" t="inlineStr">
        <is>
          <t>DEASIL; camera count/retention not in record</t>
        </is>
      </c>
      <c r="L13" s="7" t="inlineStr">
        <is>
          <t>Monthly Kingman passes</t>
        </is>
      </c>
      <c r="M13" s="7" t="inlineStr">
        <is>
          <t>a</t>
        </is>
      </c>
      <c r="N13" s="7" t="inlineStr">
        <is>
          <t>paras. 29, 40, 54</t>
        </is>
      </c>
      <c r="O13" s="7" t="inlineStr">
        <is>
          <t>Majority (1 image) vs dissent (4 hits over ~3 mo) describe different slices</t>
        </is>
      </c>
      <c r="P13" s="10" t="inlineStr">
        <is>
          <t>https://azcourts.gov/Portals/0/OpinionFiles/Div1/2024/1%20CA-CR%2022-0387%20STATE%20v.%20SIDOR.pdf</t>
        </is>
      </c>
    </row>
    <row r="14">
      <c r="A14" s="7" t="inlineStr">
        <is>
          <t>United States v. Jiles</t>
        </is>
      </c>
      <c r="B14" s="7" t="inlineStr">
        <is>
          <t>D. Neb.</t>
        </is>
      </c>
      <c r="C14" s="7" t="inlineStr">
        <is>
          <t>8:23-cr-98 (ECF 72)</t>
        </is>
      </c>
      <c r="D14" s="7" t="inlineStr">
        <is>
          <t>2024-02-29</t>
        </is>
      </c>
      <c r="E14" s="7" t="inlineStr">
        <is>
          <t>Not a search; denied</t>
        </is>
      </c>
      <c r="F14" s="7" t="n">
        <v>6</v>
      </c>
      <c r="G14" s="7" t="n">
        <v>180</v>
      </c>
      <c r="H14" s="8">
        <f>IF(AND(ISNUMBER(F14),ISNUMBER(G14),G14&gt;0),F14/G14,"")</f>
        <v/>
      </c>
      <c r="I14" s="9">
        <f>IF(AND(ISNUMBER(H14),H14&gt;0),$H$2/H14,"")</f>
        <v/>
      </c>
      <c r="J14" s="7" t="inlineStr">
        <is>
          <t>'only five or six' hits; database covers past six months</t>
        </is>
      </c>
      <c r="K14" s="7" t="inlineStr">
        <is>
          <t>Vigilant, nationwide</t>
        </is>
      </c>
      <c r="L14" s="7" t="inlineStr">
        <is>
          <t>Grand Junction, CO passes Feb. 27 and Mar. 1, 2023</t>
        </is>
      </c>
      <c r="M14" s="7" t="inlineStr">
        <is>
          <t>a</t>
        </is>
      </c>
      <c r="N14" s="7" t="inlineStr">
        <is>
          <t>ECF 72 at 4-5</t>
        </is>
      </c>
      <c r="O14" s="7" t="inlineStr">
        <is>
          <t>Count is 5 or 6; days = database window, hits clustered on one trip</t>
        </is>
      </c>
      <c r="P14" s="10" t="inlineStr">
        <is>
          <t>https://www.govinfo.gov/content/pkg/USCOURTS-ned-8_23-cr-00098/pdf/USCOURTS-ned-8_23-cr-00098-7.pdf</t>
        </is>
      </c>
    </row>
    <row r="15">
      <c r="A15" s="7" t="inlineStr">
        <is>
          <t>United States v. Jackson</t>
        </is>
      </c>
      <c r="B15" s="7" t="inlineStr">
        <is>
          <t>D. Kan.</t>
        </is>
      </c>
      <c r="C15" s="7" t="inlineStr">
        <is>
          <t>24-cr-10010</t>
        </is>
      </c>
      <c r="D15" s="7" t="inlineStr">
        <is>
          <t>2025-05-29</t>
        </is>
      </c>
      <c r="E15" s="7" t="inlineStr">
        <is>
          <t>Not a search; denied</t>
        </is>
      </c>
      <c r="F15" s="7" t="n">
        <v>9</v>
      </c>
      <c r="G15" s="7" t="n"/>
      <c r="H15" s="8">
        <f>IF(AND(ISNUMBER(F15),ISNUMBER(G15),G15&gt;0),F15/G15,"")</f>
        <v/>
      </c>
      <c r="I15" s="9">
        <f>IF(AND(ISNUMBER(H15),H15&gt;0),$H$2/H15,"")</f>
        <v/>
      </c>
      <c r="J15" s="7" t="inlineStr">
        <is>
          <t>'nine different occasions around Wichita on January 3rd'</t>
        </is>
      </c>
      <c r="K15" s="7" t="inlineStr">
        <is>
          <t>160-190 Flock cameras (~1 per 2.6 lane miles); 30-day retention</t>
        </is>
      </c>
      <c r="L15" s="7" t="inlineStr">
        <is>
          <t>Quotes Carpenter 101/day</t>
        </is>
      </c>
      <c r="M15" s="7" t="inlineStr">
        <is>
          <t>a</t>
        </is>
      </c>
      <c r="N15" s="7" t="inlineStr">
        <is>
          <t>p. 14</t>
        </is>
      </c>
      <c r="O15" s="7" t="inlineStr"/>
      <c r="P15" s="10" t="inlineStr">
        <is>
          <t>https://ecf.ksd.uscourts.gov/cgi-bin/show_public_doc?2024cr10010-48+=</t>
        </is>
      </c>
    </row>
    <row r="16">
      <c r="A16" s="7" t="inlineStr">
        <is>
          <t>United States v. Mapson</t>
        </is>
      </c>
      <c r="B16" s="7" t="inlineStr">
        <is>
          <t>11th Cir.</t>
        </is>
      </c>
      <c r="C16" s="7" t="inlineStr">
        <is>
          <t>96 F.4th 1323</t>
        </is>
      </c>
      <c r="D16" s="7" t="inlineStr">
        <is>
          <t>2024</t>
        </is>
      </c>
      <c r="E16" s="7" t="inlineStr">
        <is>
          <t>Good faith; affirmed</t>
        </is>
      </c>
      <c r="F16" s="7" t="n">
        <v>3</v>
      </c>
      <c r="G16" s="7" t="n"/>
      <c r="H16" s="8">
        <f>IF(AND(ISNUMBER(F16),ISNUMBER(G16),G16&gt;0),F16/G16,"")</f>
        <v/>
      </c>
      <c r="I16" s="9">
        <f>IF(AND(ISNUMBER(H16),H16&gt;0),$H$2/H16,"")</f>
        <v/>
      </c>
      <c r="J16" s="7" t="inlineStr">
        <is>
          <t>3 locations on day of shooting (GA, GA, AL)</t>
        </is>
      </c>
      <c r="K16" s="7" t="inlineStr"/>
      <c r="L16" s="7" t="inlineStr">
        <is>
          <t>Multistate; 9:53 a.m., 12:55 p.m., 7:57 p.m.</t>
        </is>
      </c>
      <c r="M16" s="7" t="inlineStr">
        <is>
          <t>a</t>
        </is>
      </c>
      <c r="N16" s="7" t="inlineStr">
        <is>
          <t>96 F.4th at 1334</t>
        </is>
      </c>
      <c r="O16" s="7" t="inlineStr"/>
      <c r="P16" s="10" t="inlineStr">
        <is>
          <t>https://media.ca11.uscourts.gov/opinions/pub/files/202211159.pdf</t>
        </is>
      </c>
    </row>
    <row r="17">
      <c r="A17" s="7" t="inlineStr">
        <is>
          <t>Commonwealth v. Church</t>
        </is>
      </c>
      <c r="B17" s="7" t="inlineStr">
        <is>
          <t>Va. Ct. App.</t>
        </is>
      </c>
      <c r="C17" s="7" t="inlineStr">
        <is>
          <t>0737-25-1</t>
        </is>
      </c>
      <c r="D17" s="7" t="inlineStr">
        <is>
          <t>2025-10-14</t>
        </is>
      </c>
      <c r="E17" s="7" t="inlineStr">
        <is>
          <t>Not a search; suppression reversed</t>
        </is>
      </c>
      <c r="F17" s="7" t="n">
        <v>3</v>
      </c>
      <c r="G17" s="7" t="n"/>
      <c r="H17" s="8">
        <f>IF(AND(ISNUMBER(F17),ISNUMBER(G17),G17&gt;0),F17/G17,"")</f>
        <v/>
      </c>
      <c r="I17" s="9">
        <f>IF(AND(ISNUMBER(H17),H17&gt;0),$H$2/H17,"")</f>
        <v/>
      </c>
      <c r="J17" s="7" t="inlineStr">
        <is>
          <t>3 images between 12:05 and 12:11 p.m.</t>
        </is>
      </c>
      <c r="K17" s="7" t="inlineStr">
        <is>
          <t>172 Flock cameras; 30-day retention</t>
        </is>
      </c>
      <c r="L17" s="7" t="inlineStr">
        <is>
          <t>All within 6 minutes</t>
        </is>
      </c>
      <c r="M17" s="7" t="inlineStr">
        <is>
          <t>a</t>
        </is>
      </c>
      <c r="N17" s="7" t="inlineStr">
        <is>
          <t>p. 3</t>
        </is>
      </c>
      <c r="O17" s="7" t="inlineStr"/>
      <c r="P17" s="10" t="inlineStr">
        <is>
          <t>https://www.vacourts.gov/static/opinions/opncavwp/0737251.pdf</t>
        </is>
      </c>
    </row>
    <row r="18">
      <c r="A18" s="7" t="inlineStr">
        <is>
          <t>United States v. Riley &amp; Holley</t>
        </is>
      </c>
      <c r="B18" s="7" t="inlineStr">
        <is>
          <t>C.D. Cal.</t>
        </is>
      </c>
      <c r="C18" s="7" t="inlineStr">
        <is>
          <t>2:25-cr-380</t>
        </is>
      </c>
      <c r="D18" s="7" t="inlineStr">
        <is>
          <t>2026-09-10</t>
        </is>
      </c>
      <c r="E18" s="7" t="inlineStr">
        <is>
          <t>Not a search; denied</t>
        </is>
      </c>
      <c r="F18" s="7" t="n">
        <v>8</v>
      </c>
      <c r="G18" s="7" t="n"/>
      <c r="H18" s="8">
        <f>IF(AND(ISNUMBER(F18),ISNUMBER(G18),G18&gt;0),F18/G18,"")</f>
        <v/>
      </c>
      <c r="I18" s="9">
        <f>IF(AND(ISNUMBER(H18),H18&gt;0),$H$2/H18,"")</f>
        <v/>
      </c>
      <c r="J18" s="7" t="inlineStr">
        <is>
          <t>4 photos from each of 2 systems</t>
        </is>
      </c>
      <c r="K18" s="7" t="inlineStr">
        <is>
          <t>Culver City Flock 52 cameras/30 days; Carson Motorola 85 cameras</t>
        </is>
      </c>
      <c r="L18" s="7" t="inlineStr"/>
      <c r="M18" s="7" t="inlineStr">
        <is>
          <t>c (Volokh); earlier notes cite opinion</t>
        </is>
      </c>
      <c r="N18" s="7" t="inlineStr"/>
      <c r="O18" s="7" t="inlineStr">
        <is>
          <t>Re-verify counts against opinion</t>
        </is>
      </c>
      <c r="P18" s="10" t="inlineStr">
        <is>
          <t>https://reason.com/volokh/2026/09/16/use-of-flock-cameras-is-not-a-fourth-amendment-search-district-court-rules/</t>
        </is>
      </c>
    </row>
    <row r="19">
      <c r="A19" s="7" t="inlineStr">
        <is>
          <t>United States v. Salcido-Gonzalez</t>
        </is>
      </c>
      <c r="B19" s="7" t="inlineStr">
        <is>
          <t>D. Utah</t>
        </is>
      </c>
      <c r="C19" s="7" t="inlineStr">
        <is>
          <t>4:23-cr-49-DN (ECF 50)</t>
        </is>
      </c>
      <c r="D19" s="7" t="inlineStr">
        <is>
          <t>2024-05-21</t>
        </is>
      </c>
      <c r="E19" s="7" t="inlineStr">
        <is>
          <t>Not a search; denied</t>
        </is>
      </c>
      <c r="F19" s="7" t="n">
        <v>2</v>
      </c>
      <c r="G19" s="7" t="n"/>
      <c r="H19" s="8">
        <f>IF(AND(ISNUMBER(F19),ISNUMBER(G19),G19&gt;0),F19/G19,"")</f>
        <v/>
      </c>
      <c r="I19" s="9">
        <f>IF(AND(ISNUMBER(H19),H19&gt;0),$H$2/H19,"")</f>
        <v/>
      </c>
      <c r="J19" s="7" t="inlineStr">
        <is>
          <t>Denver 1:20 p.m. Apr. 16; NV-CA border 10:11 p.m. Apr. 17</t>
        </is>
      </c>
      <c r="K19" s="7" t="inlineStr">
        <is>
          <t>Vigilant</t>
        </is>
      </c>
      <c r="L19" s="7" t="inlineStr">
        <is>
          <t>Multistate</t>
        </is>
      </c>
      <c r="M19" s="7" t="inlineStr">
        <is>
          <t>a</t>
        </is>
      </c>
      <c r="N19" s="7" t="inlineStr">
        <is>
          <t>p. 8</t>
        </is>
      </c>
      <c r="O19" s="7" t="inlineStr">
        <is>
          <t>On Flock's case list</t>
        </is>
      </c>
      <c r="P19" s="10" t="inlineStr">
        <is>
          <t>https://www.govinfo.gov/content/pkg/USCOURTS-utd-4_23-cr-00049/pdf/USCOURTS-utd-4_23-cr-00049-0.pdf</t>
        </is>
      </c>
    </row>
    <row r="20">
      <c r="A20" s="7" t="inlineStr">
        <is>
          <t>State v. Faile</t>
        </is>
      </c>
      <c r="B20" s="7" t="inlineStr">
        <is>
          <t>S.C. Ct. App.</t>
        </is>
      </c>
      <c r="C20" s="7" t="inlineStr">
        <is>
          <t>2026-UP-323</t>
        </is>
      </c>
      <c r="D20" s="7" t="inlineStr">
        <is>
          <t>2026-07-01</t>
        </is>
      </c>
      <c r="E20" s="7" t="inlineStr">
        <is>
          <t>Not a search; affirmed</t>
        </is>
      </c>
      <c r="F20" s="7" t="n">
        <v>2</v>
      </c>
      <c r="G20" s="7" t="n"/>
      <c r="H20" s="8">
        <f>IF(AND(ISNUMBER(F20),ISNUMBER(G20),G20&gt;0),F20/G20,"")</f>
        <v/>
      </c>
      <c r="I20" s="9">
        <f>IF(AND(ISNUMBER(H20),H20&gt;0),$H$2/H20,"")</f>
        <v/>
      </c>
      <c r="J20" s="7" t="inlineStr">
        <is>
          <t>2 photos one day apart within 30-day retention</t>
        </is>
      </c>
      <c r="K20" s="7" t="inlineStr">
        <is>
          <t>24 Rock Hill Flock cameras; 30-day retention</t>
        </is>
      </c>
      <c r="L20" s="7" t="inlineStr">
        <is>
          <t>Second photo 50 miles away (Camden)</t>
        </is>
      </c>
      <c r="M20" s="7" t="inlineStr">
        <is>
          <t>a</t>
        </is>
      </c>
      <c r="N20" s="7" t="inlineStr"/>
      <c r="O20" s="7" t="inlineStr">
        <is>
          <t>Court contrasts with Carpenter 12,898/127</t>
        </is>
      </c>
      <c r="P20" s="10" t="inlineStr">
        <is>
          <t>https://www.sccourts.org/media/opinions/unpublishedopinions/HTMLFiles/COA/2026-UP-323.pdf</t>
        </is>
      </c>
    </row>
    <row r="21">
      <c r="A21" s="7" t="inlineStr">
        <is>
          <t>United States v. Brown (W.D. Okla.)</t>
        </is>
      </c>
      <c r="B21" s="7" t="inlineStr">
        <is>
          <t>W.D. Okla.</t>
        </is>
      </c>
      <c r="C21" s="7" t="inlineStr">
        <is>
          <t>5:25-cr-188</t>
        </is>
      </c>
      <c r="D21" s="7" t="inlineStr">
        <is>
          <t>2025-08-25</t>
        </is>
      </c>
      <c r="E21" s="7" t="inlineStr">
        <is>
          <t>Not a search; denied</t>
        </is>
      </c>
      <c r="F21" s="7" t="n">
        <v>2</v>
      </c>
      <c r="G21" s="7" t="n"/>
      <c r="H21" s="8">
        <f>IF(AND(ISNUMBER(F21),ISNUMBER(G21),G21&gt;0),F21/G21,"")</f>
        <v/>
      </c>
      <c r="I21" s="9">
        <f>IF(AND(ISNUMBER(H21),H21&gt;0),$H$2/H21,"")</f>
        <v/>
      </c>
      <c r="J21" s="7" t="inlineStr">
        <is>
          <t>2 hits, both on day of robbery</t>
        </is>
      </c>
      <c r="K21" s="7" t="inlineStr">
        <is>
          <t>3 Choctaw Flock cameras; 30-day retention</t>
        </is>
      </c>
      <c r="L21" s="7" t="inlineStr">
        <is>
          <t>Earlier sightings in Tulsa area</t>
        </is>
      </c>
      <c r="M21" s="7" t="inlineStr">
        <is>
          <t>a</t>
        </is>
      </c>
      <c r="N21" s="7" t="inlineStr">
        <is>
          <t>pp. 5-6</t>
        </is>
      </c>
      <c r="O21" s="7" t="inlineStr"/>
      <c r="P21" s="10" t="inlineStr">
        <is>
          <t>https://www.govinfo.gov/content/pkg/USCOURTS-okwd-5_25-cr-00188/pdf/USCOURTS-okwd-5_25-cr-00188-0.pdf</t>
        </is>
      </c>
    </row>
    <row r="22">
      <c r="A22" s="7" t="inlineStr">
        <is>
          <t>People v. Gonzalez</t>
        </is>
      </c>
      <c r="B22" s="7" t="inlineStr">
        <is>
          <t>Cal. Ct. App.</t>
        </is>
      </c>
      <c r="C22" s="7" t="inlineStr">
        <is>
          <t>A150198</t>
        </is>
      </c>
      <c r="D22" s="7" t="inlineStr">
        <is>
          <t>2019-12-05</t>
        </is>
      </c>
      <c r="E22" s="7" t="inlineStr">
        <is>
          <t>Harmless error</t>
        </is>
      </c>
      <c r="F22" s="7" t="n">
        <v>2</v>
      </c>
      <c r="G22" s="7" t="n"/>
      <c r="H22" s="8">
        <f>IF(AND(ISNUMBER(F22),ISNUMBER(G22),G22&gt;0),F22/G22,"")</f>
        <v/>
      </c>
      <c r="I22" s="9">
        <f>IF(AND(ISNUMBER(H22),H22&gt;0),$H$2/H22,"")</f>
        <v/>
      </c>
      <c r="J22" s="7" t="inlineStr">
        <is>
          <t>2 photos on July 2, 2015</t>
        </is>
      </c>
      <c r="K22" s="7" t="inlineStr">
        <is>
          <t>50 Bay Area agencies; 1-year retention</t>
        </is>
      </c>
      <c r="L22" s="7" t="inlineStr"/>
      <c r="M22" s="7" t="inlineStr">
        <is>
          <t>a</t>
        </is>
      </c>
      <c r="N22" s="7" t="inlineStr"/>
      <c r="O22" s="7" t="inlineStr"/>
      <c r="P22" s="10" t="inlineStr">
        <is>
          <t>https://www4.courts.ca.gov/opinions/archive/A150198.PDF</t>
        </is>
      </c>
    </row>
    <row r="23">
      <c r="A23" s="7" t="inlineStr">
        <is>
          <t>United States v. Yang</t>
        </is>
      </c>
      <c r="B23" s="7" t="inlineStr">
        <is>
          <t>9th Cir.</t>
        </is>
      </c>
      <c r="C23" s="7" t="inlineStr">
        <is>
          <t>958 F.3d 851</t>
        </is>
      </c>
      <c r="D23" s="7" t="inlineStr">
        <is>
          <t>2020-05-04</t>
        </is>
      </c>
      <c r="E23" s="7" t="inlineStr">
        <is>
          <t>Standing; affirmed</t>
        </is>
      </c>
      <c r="F23" s="7" t="n">
        <v>2</v>
      </c>
      <c r="G23" s="7" t="n"/>
      <c r="H23" s="8">
        <f>IF(AND(ISNUMBER(F23),ISNUMBER(G23),G23&gt;0),F23/G23,"")</f>
        <v/>
      </c>
      <c r="I23" s="9">
        <f>IF(AND(ISNUMBER(H23),H23&gt;0),$H$2/H23,"")</f>
        <v/>
      </c>
      <c r="J23" s="7" t="inlineStr">
        <is>
          <t>2 images ~1 second apart</t>
        </is>
      </c>
      <c r="K23" s="7" t="inlineStr"/>
      <c r="L23" s="7" t="inlineStr"/>
      <c r="M23" s="7" t="inlineStr">
        <is>
          <t>a</t>
        </is>
      </c>
      <c r="N23" s="7" t="inlineStr">
        <is>
          <t>n.1</t>
        </is>
      </c>
      <c r="O23" s="7" t="inlineStr"/>
      <c r="P23" s="10" t="inlineStr">
        <is>
          <t>https://cdn.ca9.uscourts.gov/datastore/opinions/2020/05/04/18-10341.pdf</t>
        </is>
      </c>
    </row>
    <row r="24">
      <c r="A24" s="7" t="inlineStr">
        <is>
          <t>United States v. Porter (N.D. Ill.)</t>
        </is>
      </c>
      <c r="B24" s="7" t="inlineStr">
        <is>
          <t>N.D. Ill.</t>
        </is>
      </c>
      <c r="C24" s="7" t="inlineStr">
        <is>
          <t>2022 WL 124563</t>
        </is>
      </c>
      <c r="D24" s="7" t="inlineStr">
        <is>
          <t>2022-01-13</t>
        </is>
      </c>
      <c r="E24" s="7" t="inlineStr">
        <is>
          <t>Denied</t>
        </is>
      </c>
      <c r="F24" s="7" t="n">
        <v>2</v>
      </c>
      <c r="G24" s="7" t="n"/>
      <c r="H24" s="8">
        <f>IF(AND(ISNUMBER(F24),ISNUMBER(G24),G24&gt;0),F24/G24,"")</f>
        <v/>
      </c>
      <c r="I24" s="9">
        <f>IF(AND(ISNUMBER(H24),H24&gt;0),$H$2/H24,"")</f>
        <v/>
      </c>
      <c r="J24" s="7" t="inlineStr">
        <is>
          <t>'two images' (per Sturdivant)</t>
        </is>
      </c>
      <c r="K24" s="7" t="inlineStr"/>
      <c r="L24" s="7" t="inlineStr"/>
      <c r="M24" s="7" t="inlineStr">
        <is>
          <t>Sturdivant's description only</t>
        </is>
      </c>
      <c r="N24" s="7" t="inlineStr"/>
      <c r="O24" s="7" t="inlineStr">
        <is>
          <t>Opinion not reached; unverified</t>
        </is>
      </c>
      <c r="P24" s="7" t="inlineStr"/>
    </row>
    <row r="25">
      <c r="A25" s="7" t="inlineStr">
        <is>
          <t>United States v. Graham</t>
        </is>
      </c>
      <c r="B25" s="7" t="inlineStr">
        <is>
          <t>D.N.J.</t>
        </is>
      </c>
      <c r="C25" s="7" t="inlineStr">
        <is>
          <t>21-645</t>
        </is>
      </c>
      <c r="D25" s="7" t="inlineStr">
        <is>
          <t>2022-09-12</t>
        </is>
      </c>
      <c r="E25" s="7" t="inlineStr">
        <is>
          <t>Not a search; denied</t>
        </is>
      </c>
      <c r="F25" s="7" t="n">
        <v>1</v>
      </c>
      <c r="G25" s="7" t="n"/>
      <c r="H25" s="8">
        <f>IF(AND(ISNUMBER(F25),ISNUMBER(G25),G25&gt;0),F25/G25,"")</f>
        <v/>
      </c>
      <c r="I25" s="9">
        <f>IF(AND(ISNUMBER(H25),H25&gt;0),$H$2/H25,"")</f>
        <v/>
      </c>
      <c r="J25" s="7" t="inlineStr">
        <is>
          <t>'single occurrence on a single day'</t>
        </is>
      </c>
      <c r="K25" s="7" t="inlineStr"/>
      <c r="L25" s="7" t="inlineStr"/>
      <c r="M25" s="7" t="inlineStr">
        <is>
          <t>a</t>
        </is>
      </c>
      <c r="N25" s="7" t="inlineStr">
        <is>
          <t>p. 7</t>
        </is>
      </c>
      <c r="O25" s="7" t="inlineStr"/>
      <c r="P25" s="10" t="inlineStr">
        <is>
          <t>https://www.govinfo.gov/content/pkg/USCOURTS-njd-2_21-cr-00645/pdf/USCOURTS-njd-2_21-cr-00645-0.pdf</t>
        </is>
      </c>
    </row>
    <row r="26">
      <c r="A26" s="7" t="inlineStr">
        <is>
          <t>United States v. Toombs</t>
        </is>
      </c>
      <c r="B26" s="7" t="inlineStr">
        <is>
          <t>N.D. Ala.</t>
        </is>
      </c>
      <c r="C26" s="7" t="inlineStr">
        <is>
          <t>1:22-cr-306; 671 F. Supp. 3d 1329</t>
        </is>
      </c>
      <c r="D26" s="7" t="inlineStr">
        <is>
          <t>2023</t>
        </is>
      </c>
      <c r="E26" s="7" t="inlineStr">
        <is>
          <t>Denied</t>
        </is>
      </c>
      <c r="F26" s="7" t="n">
        <v>1</v>
      </c>
      <c r="G26" s="7" t="n"/>
      <c r="H26" s="8">
        <f>IF(AND(ISNUMBER(F26),ISNUMBER(G26),G26&gt;0),F26/G26,"")</f>
        <v/>
      </c>
      <c r="I26" s="9">
        <f>IF(AND(ISNUMBER(H26),H26&gt;0),$H$2/H26,"")</f>
        <v/>
      </c>
      <c r="J26" s="7" t="inlineStr">
        <is>
          <t>'single data point' (per Sturdivant; vLex summary)</t>
        </is>
      </c>
      <c r="K26" s="7" t="inlineStr">
        <is>
          <t>DEASIL</t>
        </is>
      </c>
      <c r="L26" s="7" t="inlineStr"/>
      <c r="M26" s="7" t="inlineStr">
        <is>
          <t>Sturdivant + vLex summary</t>
        </is>
      </c>
      <c r="N26" s="7" t="inlineStr"/>
      <c r="O26" s="7" t="inlineStr">
        <is>
          <t>Opinion not reached; Sturdivant mis-cites as E.D. Ala.</t>
        </is>
      </c>
      <c r="P26" s="10" t="inlineStr">
        <is>
          <t>https://case-law.vlex.com/vid/united-states-v-toombs-1049660063</t>
        </is>
      </c>
    </row>
    <row r="27">
      <c r="A27" s="7" t="inlineStr">
        <is>
          <t>Robinson v. Commonwealth</t>
        </is>
      </c>
      <c r="B27" s="7" t="inlineStr">
        <is>
          <t>Va. Ct. App.</t>
        </is>
      </c>
      <c r="C27" s="7" t="inlineStr">
        <is>
          <t>1912-24-1 (published)</t>
        </is>
      </c>
      <c r="D27" s="7" t="inlineStr">
        <is>
          <t>2026-04-07</t>
        </is>
      </c>
      <c r="E27" s="7" t="inlineStr">
        <is>
          <t>Not a search; affirmed</t>
        </is>
      </c>
      <c r="F27" s="7" t="n">
        <v>1</v>
      </c>
      <c r="G27" s="7" t="n"/>
      <c r="H27" s="8">
        <f>IF(AND(ISNUMBER(F27),ISNUMBER(G27),G27&gt;0),F27/G27,"")</f>
        <v/>
      </c>
      <c r="I27" s="9">
        <f>IF(AND(ISNUMBER(H27),H27&gt;0),$H$2/H27,"")</f>
        <v/>
      </c>
      <c r="J27" s="7" t="inlineStr">
        <is>
          <t>'returned one image' (2-hour search, 2 cameras)</t>
        </is>
      </c>
      <c r="K27" s="7" t="inlineStr">
        <is>
          <t>172 Flock cameras; 30-day retention</t>
        </is>
      </c>
      <c r="L27" s="7" t="inlineStr"/>
      <c r="M27" s="7" t="inlineStr">
        <is>
          <t>a</t>
        </is>
      </c>
      <c r="N27" s="7" t="inlineStr"/>
      <c r="O27" s="7" t="inlineStr">
        <is>
          <t>Trial court (July 26, 2024) said images 'in several different locations'</t>
        </is>
      </c>
      <c r="P27" s="10" t="inlineStr">
        <is>
          <t>https://www.vacourts.gov/static/opinions/opncavwp/1912241.pdf</t>
        </is>
      </c>
    </row>
    <row r="28">
      <c r="A28" s="7" t="inlineStr">
        <is>
          <t>State v. Simonson</t>
        </is>
      </c>
      <c r="B28" s="7" t="inlineStr">
        <is>
          <t>Wash. Ct. App.</t>
        </is>
      </c>
      <c r="C28" s="7" t="inlineStr">
        <is>
          <t>40732-2-III; Sup. Ct. pet. 105237-5</t>
        </is>
      </c>
      <c r="D28" s="7" t="inlineStr">
        <is>
          <t>2026-01-29</t>
        </is>
      </c>
      <c r="E28" s="7" t="inlineStr">
        <is>
          <t>Not a search; petition pending</t>
        </is>
      </c>
      <c r="F28" s="7" t="n">
        <v>1</v>
      </c>
      <c r="G28" s="7" t="n"/>
      <c r="H28" s="8">
        <f>IF(AND(ISNUMBER(F28),ISNUMBER(G28),G28&gt;0),F28/G28,"")</f>
        <v/>
      </c>
      <c r="I28" s="9">
        <f>IF(AND(ISNUMBER(H28),H28&gt;0),$H$2/H28,"")</f>
        <v/>
      </c>
      <c r="J28" s="7" t="inlineStr">
        <is>
          <t>Deputy 'inspected only one photograph' (real-time hit)</t>
        </is>
      </c>
      <c r="K28" s="7" t="inlineStr">
        <is>
          <t>Flock; ~50-ft range; 30-day retention</t>
        </is>
      </c>
      <c r="L28" s="7" t="inlineStr"/>
      <c r="M28" s="7" t="inlineStr">
        <is>
          <t>a</t>
        </is>
      </c>
      <c r="N28" s="7" t="inlineStr"/>
      <c r="O28" s="7" t="inlineStr"/>
      <c r="P28" s="10" t="inlineStr">
        <is>
          <t>https://www.courts.wa.gov/opinions/pdf/407322_unp.pdf</t>
        </is>
      </c>
    </row>
    <row r="29">
      <c r="A29" s="7" t="inlineStr">
        <is>
          <t>United States v. Porter (5th Cir.)</t>
        </is>
      </c>
      <c r="B29" s="7" t="inlineStr">
        <is>
          <t>5th Cir.</t>
        </is>
      </c>
      <c r="C29" s="7" t="inlineStr">
        <is>
          <t>25-60163; cert pet. 26-5121</t>
        </is>
      </c>
      <c r="D29" s="7" t="inlineStr">
        <is>
          <t>2026-03-17</t>
        </is>
      </c>
      <c r="E29" s="7" t="inlineStr">
        <is>
          <t>Not a search; affirmed</t>
        </is>
      </c>
      <c r="F29" s="7" t="n"/>
      <c r="G29" s="7" t="n"/>
      <c r="H29" s="8">
        <f>IF(AND(ISNUMBER(F29),ISNUMBER(G29),G29&gt;0),F29/G29,"")</f>
        <v/>
      </c>
      <c r="I29" s="9">
        <f>IF(AND(ISNUMBER(H29),H29&gt;0),$H$2/H29,"")</f>
        <v/>
      </c>
      <c r="J29" s="7" t="inlineStr">
        <is>
          <t>Hits 'earlier that day and the day before'; no total</t>
        </is>
      </c>
      <c r="K29" s="7" t="inlineStr">
        <is>
          <t>'no more than ten' cameras (Gautier, MS)</t>
        </is>
      </c>
      <c r="L29" s="7" t="inlineStr"/>
      <c r="M29" s="7" t="inlineStr">
        <is>
          <t>a</t>
        </is>
      </c>
      <c r="N29" s="7" t="inlineStr">
        <is>
          <t>pp. 2-3, 7-8</t>
        </is>
      </c>
      <c r="O29" s="7" t="inlineStr">
        <is>
          <t>Cert distributed for 9/28/26 conference; no order seen - recheck</t>
        </is>
      </c>
      <c r="P29" s="10" t="inlineStr">
        <is>
          <t>https://www.ca5.uscourts.gov/opinions/pub/25/25-60163-CR0.pdf</t>
        </is>
      </c>
    </row>
    <row r="30">
      <c r="A30" s="7" t="inlineStr">
        <is>
          <t>United States v. Rubin</t>
        </is>
      </c>
      <c r="B30" s="7" t="inlineStr">
        <is>
          <t>N.D. Cal.</t>
        </is>
      </c>
      <c r="C30" s="7" t="inlineStr">
        <is>
          <t>3:18-cr-568</t>
        </is>
      </c>
      <c r="D30" s="7" t="inlineStr">
        <is>
          <t>2021</t>
        </is>
      </c>
      <c r="E30" s="7" t="inlineStr">
        <is>
          <t>Not a search; denied</t>
        </is>
      </c>
      <c r="F30" s="7" t="n"/>
      <c r="G30" s="7" t="n"/>
      <c r="H30" s="8">
        <f>IF(AND(ISNUMBER(F30),ISNUMBER(G30),G30&gt;0),F30/G30,"")</f>
        <v/>
      </c>
      <c r="I30" s="9">
        <f>IF(AND(ISNUMBER(H30),H30&gt;0),$H$2/H30,"")</f>
        <v/>
      </c>
      <c r="J30" s="7" t="inlineStr">
        <is>
          <t>'several' reads; count 'not clear'</t>
        </is>
      </c>
      <c r="K30" s="7" t="inlineStr">
        <is>
          <t>NCRIC database</t>
        </is>
      </c>
      <c r="L30" s="7" t="inlineStr">
        <is>
          <t>Overnight reads in Vallejo</t>
        </is>
      </c>
      <c r="M30" s="7" t="inlineStr">
        <is>
          <t>a</t>
        </is>
      </c>
      <c r="N30" s="7" t="inlineStr"/>
      <c r="O30" s="7" t="inlineStr">
        <is>
          <t>1-month vs 12-month lookback disputed</t>
        </is>
      </c>
      <c r="P30" s="10" t="inlineStr">
        <is>
          <t>https://www.govinfo.gov/content/pkg/USCOURTS-cand-3_18-cr-00568/pdf/USCOURTS-cand-3_18-cr-00568-2.pdf</t>
        </is>
      </c>
    </row>
    <row r="31">
      <c r="A31" s="7" t="inlineStr">
        <is>
          <t>United States v. Schoggins</t>
        </is>
      </c>
      <c r="B31" s="7" t="inlineStr">
        <is>
          <t>E.D. Okla.</t>
        </is>
      </c>
      <c r="C31" s="7" t="inlineStr">
        <is>
          <t>6:25-cr-189</t>
        </is>
      </c>
      <c r="D31" s="7" t="inlineStr">
        <is>
          <t>2026-02-10</t>
        </is>
      </c>
      <c r="E31" s="7" t="inlineStr">
        <is>
          <t>Denied (F&amp;R 1/28/26 adopted)</t>
        </is>
      </c>
      <c r="F31" s="7" t="n"/>
      <c r="G31" s="7" t="n">
        <v>120</v>
      </c>
      <c r="H31" s="8">
        <f>IF(AND(ISNUMBER(F31),ISNUMBER(G31),G31&gt;0),F31/G31,"")</f>
        <v/>
      </c>
      <c r="I31" s="9">
        <f>IF(AND(ISNUMBER(H31),H31&gt;0),$H$2/H31,"")</f>
        <v/>
      </c>
      <c r="J31" s="7" t="inlineStr">
        <is>
          <t>'multiple occasions,' Feb.-May 2025</t>
        </is>
      </c>
      <c r="K31" s="7" t="inlineStr">
        <is>
          <t>Oklahoma Turnpike readers (by subpoena)</t>
        </is>
      </c>
      <c r="L31" s="7" t="inlineStr"/>
      <c r="M31" s="7" t="inlineStr">
        <is>
          <t>a</t>
        </is>
      </c>
      <c r="N31" s="7" t="inlineStr">
        <is>
          <t>F&amp;R pp. 2, 9</t>
        </is>
      </c>
      <c r="O31" s="7" t="inlineStr">
        <is>
          <t>No count given</t>
        </is>
      </c>
      <c r="P31" s="10" t="inlineStr">
        <is>
          <t>https://www.govinfo.gov/content/pkg/USCOURTS-oked-6_25-cr-00189/pdf/USCOURTS-oked-6_25-cr-00189-0.pdf</t>
        </is>
      </c>
    </row>
    <row r="32">
      <c r="A32" s="7" t="inlineStr">
        <is>
          <t>Schemel v. City of Marco Island</t>
        </is>
      </c>
      <c r="B32" s="7" t="inlineStr">
        <is>
          <t>M.D. Fla.; 11th Cir. 25-13913</t>
        </is>
      </c>
      <c r="C32" s="7" t="inlineStr">
        <is>
          <t>2:22-cv-79</t>
        </is>
      </c>
      <c r="D32" s="7" t="inlineStr">
        <is>
          <t>2025-10</t>
        </is>
      </c>
      <c r="E32" s="7" t="inlineStr">
        <is>
          <t>4A claim dismissed; on appeal</t>
        </is>
      </c>
      <c r="F32" s="7" t="n"/>
      <c r="G32" s="7" t="n"/>
      <c r="H32" s="8">
        <f>IF(AND(ISNUMBER(F32),ISNUMBER(G32),G32&gt;0),F32/G32,"")</f>
        <v/>
      </c>
      <c r="I32" s="9">
        <f>IF(AND(ISNUMBER(H32),H32&gt;0),$H$2/H32,"")</f>
        <v/>
      </c>
      <c r="J32" s="7" t="inlineStr">
        <is>
          <t>'multiple times nearly every day'</t>
        </is>
      </c>
      <c r="K32" s="7" t="inlineStr">
        <is>
          <t>Cameras on island bridges (reportedly 3); 3-year retention</t>
        </is>
      </c>
      <c r="L32" s="7" t="inlineStr"/>
      <c r="M32" s="7" t="inlineStr">
        <is>
          <t>c (NCLA press release)</t>
        </is>
      </c>
      <c r="N32" s="7" t="inlineStr"/>
      <c r="O32" s="7" t="inlineStr">
        <is>
          <t>NOT a court finding; opinion not reached</t>
        </is>
      </c>
      <c r="P32" s="10" t="inlineStr">
        <is>
          <t>https://nclalegal.org/wp-content/uploads/2023/02/PRESS-RELEASE_Schemel-v.-Marco-Island_complaint_Final.pdf</t>
        </is>
      </c>
    </row>
  </sheetData>
  <autoFilter ref="A1:P32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7" r:id="rId5"/>
    <hyperlink xmlns:r="http://schemas.openxmlformats.org/officeDocument/2006/relationships" ref="P8" r:id="rId6"/>
    <hyperlink xmlns:r="http://schemas.openxmlformats.org/officeDocument/2006/relationships" ref="P9" r:id="rId7"/>
    <hyperlink xmlns:r="http://schemas.openxmlformats.org/officeDocument/2006/relationships" ref="P10" r:id="rId8"/>
    <hyperlink xmlns:r="http://schemas.openxmlformats.org/officeDocument/2006/relationships" ref="P11" r:id="rId9"/>
    <hyperlink xmlns:r="http://schemas.openxmlformats.org/officeDocument/2006/relationships" ref="P12" r:id="rId10"/>
    <hyperlink xmlns:r="http://schemas.openxmlformats.org/officeDocument/2006/relationships" ref="P13" r:id="rId11"/>
    <hyperlink xmlns:r="http://schemas.openxmlformats.org/officeDocument/2006/relationships" ref="P14" r:id="rId12"/>
    <hyperlink xmlns:r="http://schemas.openxmlformats.org/officeDocument/2006/relationships" ref="P15" r:id="rId13"/>
    <hyperlink xmlns:r="http://schemas.openxmlformats.org/officeDocument/2006/relationships" ref="P16" r:id="rId14"/>
    <hyperlink xmlns:r="http://schemas.openxmlformats.org/officeDocument/2006/relationships" ref="P17" r:id="rId15"/>
    <hyperlink xmlns:r="http://schemas.openxmlformats.org/officeDocument/2006/relationships" ref="P18" r:id="rId16"/>
    <hyperlink xmlns:r="http://schemas.openxmlformats.org/officeDocument/2006/relationships" ref="P19" r:id="rId17"/>
    <hyperlink xmlns:r="http://schemas.openxmlformats.org/officeDocument/2006/relationships" ref="P20" r:id="rId18"/>
    <hyperlink xmlns:r="http://schemas.openxmlformats.org/officeDocument/2006/relationships" ref="P21" r:id="rId19"/>
    <hyperlink xmlns:r="http://schemas.openxmlformats.org/officeDocument/2006/relationships" ref="P22" r:id="rId20"/>
    <hyperlink xmlns:r="http://schemas.openxmlformats.org/officeDocument/2006/relationships" ref="P23" r:id="rId21"/>
    <hyperlink xmlns:r="http://schemas.openxmlformats.org/officeDocument/2006/relationships" ref="P25" r:id="rId22"/>
    <hyperlink xmlns:r="http://schemas.openxmlformats.org/officeDocument/2006/relationships" ref="P26" r:id="rId23"/>
    <hyperlink xmlns:r="http://schemas.openxmlformats.org/officeDocument/2006/relationships" ref="P27" r:id="rId24"/>
    <hyperlink xmlns:r="http://schemas.openxmlformats.org/officeDocument/2006/relationships" ref="P28" r:id="rId25"/>
    <hyperlink xmlns:r="http://schemas.openxmlformats.org/officeDocument/2006/relationships" ref="P29" r:id="rId26"/>
    <hyperlink xmlns:r="http://schemas.openxmlformats.org/officeDocument/2006/relationships" ref="P30" r:id="rId27"/>
    <hyperlink xmlns:r="http://schemas.openxmlformats.org/officeDocument/2006/relationships" ref="P31" r:id="rId28"/>
    <hyperlink xmlns:r="http://schemas.openxmlformats.org/officeDocument/2006/relationships" ref="P32" r:id="rId29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22" customWidth="1" min="4" max="4"/>
    <col width="50" customWidth="1" min="5" max="5"/>
    <col width="40" customWidth="1" min="6" max="6"/>
  </cols>
  <sheetData>
    <row r="1">
      <c r="A1" s="1" t="inlineStr">
        <is>
          <t>Case</t>
        </is>
      </c>
      <c r="B1" s="1" t="inlineStr">
        <is>
          <t>Court</t>
        </is>
      </c>
      <c r="C1" s="1" t="inlineStr">
        <is>
          <t>Date</t>
        </is>
      </c>
      <c r="D1" s="1" t="inlineStr">
        <is>
          <t>Outcome</t>
        </is>
      </c>
      <c r="E1" s="1" t="inlineStr">
        <is>
          <t>What it has instead</t>
        </is>
      </c>
      <c r="F1" s="1" t="inlineStr">
        <is>
          <t>URL</t>
        </is>
      </c>
    </row>
    <row r="2">
      <c r="A2" s="7" t="inlineStr">
        <is>
          <t>Commonwealth v. Bell</t>
        </is>
      </c>
      <c r="B2" s="7" t="inlineStr">
        <is>
          <t>Norfolk Cir. Ct.</t>
        </is>
      </c>
      <c r="C2" s="7" t="inlineStr">
        <is>
          <t>2024-05-10</t>
        </is>
      </c>
      <c r="D2" s="7" t="inlineStr">
        <is>
          <t>SEARCH; suppressed</t>
        </is>
      </c>
      <c r="E2" s="7" t="inlineStr">
        <is>
          <t>Network only: 172 cameras, 30-day retention</t>
        </is>
      </c>
      <c r="F2" s="7" t="inlineStr">
        <is>
          <t>https://vscc.virginia.gov/2024/Nov14mtg/VSCC%20ALPR%20VA%20Court%20Opinions%20FINAL%20-%20full%20opinions.pdf</t>
        </is>
      </c>
    </row>
    <row r="3">
      <c r="A3" s="7" t="inlineStr">
        <is>
          <t>Scholl v. Illinois State Police</t>
        </is>
      </c>
      <c r="B3" s="7" t="inlineStr">
        <is>
          <t>N.D. Ill.; 7th Cir. 25-1847 (argued 9/29/26)</t>
        </is>
      </c>
      <c r="C3" s="7" t="inlineStr">
        <is>
          <t>2025-03-31</t>
        </is>
      </c>
      <c r="D3" s="7" t="inlineStr">
        <is>
          <t>Not a search; dismissed</t>
        </is>
      </c>
      <c r="E3" s="7" t="inlineStr">
        <is>
          <t>System-wide only: 466 cameras, 200,161,762 detections/month; opinion gives both 120- and 90-day retention</t>
        </is>
      </c>
      <c r="F3" s="7" t="inlineStr">
        <is>
          <t>https://cases.justia.com/federal/district-courts/illinois/ilndce/1:2024cv04435/459495/41/0.pdf</t>
        </is>
      </c>
    </row>
    <row r="4">
      <c r="A4" s="7" t="inlineStr">
        <is>
          <t>United States v. Cooper</t>
        </is>
      </c>
      <c r="B4" s="7" t="inlineStr">
        <is>
          <t>E.D. La.</t>
        </is>
      </c>
      <c r="C4" s="7" t="inlineStr">
        <is>
          <t>2025-01-06</t>
        </is>
      </c>
      <c r="D4" s="7" t="inlineStr">
        <is>
          <t>Denied</t>
        </is>
      </c>
      <c r="E4" s="7" t="inlineStr">
        <is>
          <t>~60 cameras, 180-day retention; reads 'throughout New Orleans', no count</t>
        </is>
      </c>
      <c r="F4" s="7" t="inlineStr">
        <is>
          <t>https://www.govinfo.gov/content/pkg/USCOURTS-laed-2_23-cr-00131/pdf/USCOURTS-laed-2_23-cr-00131-0.pdf</t>
        </is>
      </c>
    </row>
    <row r="5">
      <c r="A5" s="7" t="inlineStr">
        <is>
          <t>Commonwealth v. Watkins</t>
        </is>
      </c>
      <c r="B5" s="7" t="inlineStr">
        <is>
          <t>Pa. Super.</t>
        </is>
      </c>
      <c r="C5" s="7" t="inlineStr">
        <is>
          <t>2023</t>
        </is>
      </c>
      <c r="D5" s="7" t="inlineStr">
        <is>
          <t>Not a search</t>
        </is>
      </c>
      <c r="E5" s="7" t="inlineStr">
        <is>
          <t>Single real-time alert</t>
        </is>
      </c>
      <c r="F5" s="7" t="inlineStr">
        <is>
          <t>https://cases.justia.com/pennsylvania/superior-court/2023-2209-eda-2021.pdf</t>
        </is>
      </c>
    </row>
    <row r="6">
      <c r="A6" s="7" t="inlineStr">
        <is>
          <t>Traft v. Commonwealth</t>
        </is>
      </c>
      <c r="B6" s="7" t="inlineStr">
        <is>
          <t>Ky.</t>
        </is>
      </c>
      <c r="C6" s="7" t="inlineStr">
        <is>
          <t>2018</t>
        </is>
      </c>
      <c r="D6" s="7" t="inlineStr">
        <is>
          <t>No violation</t>
        </is>
      </c>
      <c r="E6" s="7" t="inlineStr">
        <is>
          <t>Single real-time read</t>
        </is>
      </c>
      <c r="F6" s="7" t="inlineStr">
        <is>
          <t>https://caselaw.findlaw.com/court/ky-supreme-court/1889377.html</t>
        </is>
      </c>
    </row>
    <row r="7">
      <c r="A7" s="7" t="inlineStr">
        <is>
          <t>Hill v. State</t>
        </is>
      </c>
      <c r="B7" s="7" t="inlineStr">
        <is>
          <t>Ga. Ct. App.</t>
        </is>
      </c>
      <c r="C7" s="7" t="inlineStr">
        <is>
          <t>2013-05-21</t>
        </is>
      </c>
      <c r="D7" s="7" t="inlineStr">
        <is>
          <t>Denied</t>
        </is>
      </c>
      <c r="E7" s="7" t="inlineStr">
        <is>
          <t>Single real-time alert</t>
        </is>
      </c>
      <c r="F7" s="7" t="inlineStr">
        <is>
          <t>https://caselaw.findlaw.com/court/ga-court-of-appeals/1631657.html</t>
        </is>
      </c>
    </row>
    <row r="8">
      <c r="A8" s="7" t="inlineStr">
        <is>
          <t>Uhunmwangho v. State</t>
        </is>
      </c>
      <c r="B8" s="7" t="inlineStr">
        <is>
          <t>Tex. App.</t>
        </is>
      </c>
      <c r="C8" s="7" t="inlineStr">
        <is>
          <t>2020</t>
        </is>
      </c>
      <c r="D8" s="7" t="inlineStr">
        <is>
          <t>Denied</t>
        </is>
      </c>
      <c r="E8" s="7" t="inlineStr">
        <is>
          <t>Opinion not reached; 'scanned only once' in secondary sources only</t>
        </is>
      </c>
      <c r="F8" s="7" t="inlineStr">
        <is>
          <t>https://law.justia.com/cases/texas/ninth-court-of-appeals/2020/09-19-00119-cr.html</t>
        </is>
      </c>
    </row>
    <row r="9">
      <c r="A9" s="7" t="inlineStr">
        <is>
          <t>United States v. Wilcox</t>
        </is>
      </c>
      <c r="B9" s="7" t="inlineStr">
        <is>
          <t>11th Cir.</t>
        </is>
      </c>
      <c r="C9" s="7" t="inlineStr">
        <is>
          <t>2011</t>
        </is>
      </c>
      <c r="D9" s="7" t="inlineStr">
        <is>
          <t>No expectation of privacy in plate</t>
        </is>
      </c>
      <c r="E9" s="7" t="inlineStr">
        <is>
          <t>Single plate reading; secondary sources only</t>
        </is>
      </c>
      <c r="F9" s="7" t="inlineStr"/>
    </row>
    <row r="10">
      <c r="A10" s="7" t="inlineStr">
        <is>
          <t>Mas Canosa v. City of Coral Gables</t>
        </is>
      </c>
      <c r="B10" s="7" t="inlineStr">
        <is>
          <t>Fla. Cir. Ct.; 3d DCA</t>
        </is>
      </c>
      <c r="C10" s="7" t="inlineStr">
        <is>
          <t>2021 / 2023</t>
        </is>
      </c>
      <c r="D10" s="7" t="inlineStr">
        <is>
          <t>For city</t>
        </is>
      </c>
      <c r="E10" s="7" t="inlineStr">
        <is>
          <t>Press: 14 cameras + 3 mobile units, 3-year retention; no plaintiff count</t>
        </is>
      </c>
      <c r="F10" s="7" t="inlineStr">
        <is>
          <t>https://nclalegal.org/case/raul-mas-canosa-v-city-of-coral-gables/</t>
        </is>
      </c>
    </row>
    <row r="11">
      <c r="A11" s="7" t="inlineStr">
        <is>
          <t>Tan v. City of San Jose</t>
        </is>
      </c>
      <c r="B11" s="7" t="inlineStr">
        <is>
          <t>N.D. Cal. 5:26-cv-3181</t>
        </is>
      </c>
      <c r="C11" s="7" t="inlineStr">
        <is>
          <t>pending</t>
        </is>
      </c>
      <c r="D11" s="7" t="inlineStr">
        <is>
          <t>No ruling</t>
        </is>
      </c>
      <c r="E11" s="7" t="inlineStr">
        <is>
          <t>Press: 474 cameras, ~15,000 searches/day; no plaintiff counts</t>
        </is>
      </c>
      <c r="F11" s="7" t="inlineStr">
        <is>
          <t>https://www.courtlistener.com/docket/73192632/tan-v-city-of-san-jose/</t>
        </is>
      </c>
    </row>
    <row r="12">
      <c r="A12" s="7" t="inlineStr">
        <is>
          <t>Schmidt v. Norfolk (MTD order)</t>
        </is>
      </c>
      <c r="B12" s="7" t="inlineStr">
        <is>
          <t>E.D. Va.</t>
        </is>
      </c>
      <c r="C12" s="7" t="inlineStr">
        <is>
          <t>2025-02-05</t>
        </is>
      </c>
      <c r="D12" s="7" t="inlineStr">
        <is>
          <t>MTD denied</t>
        </is>
      </c>
      <c r="E12" s="7" t="inlineStr">
        <is>
          <t>Pleading stage; no counts</t>
        </is>
      </c>
      <c r="F12" s="7" t="inlineStr">
        <is>
          <t>https://epic.org/wp-content/uploads/2025/02/Schmidt-Order-Denying-MTD-.pdf</t>
        </is>
      </c>
    </row>
    <row r="13">
      <c r="A13" s="7" t="inlineStr">
        <is>
          <t>Commonwealth v. Roberson / Reap / Adams</t>
        </is>
      </c>
      <c r="B13" s="7" t="inlineStr">
        <is>
          <t>Va. Cir. Ct.</t>
        </is>
      </c>
      <c r="C13" s="7" t="inlineStr">
        <is>
          <t>2024</t>
        </is>
      </c>
      <c r="D13" s="7" t="inlineStr">
        <is>
          <t>Suppression denied</t>
        </is>
      </c>
      <c r="E13" s="7" t="inlineStr">
        <is>
          <t>Opinions not retrieved; cited only in Martin</t>
        </is>
      </c>
      <c r="F13" s="7" t="inlineStr">
        <is>
          <t>https://vscc.virginia.gov/2024/Nov14mtg/VSCC%20ALPR%20VA%20Court%20Opinions%20FINAL%20-%20full%20opinions.pdf</t>
        </is>
      </c>
    </row>
    <row r="14">
      <c r="A14" s="7" t="inlineStr">
        <is>
          <t>United States v. Acosta</t>
        </is>
      </c>
      <c r="B14" s="7" t="inlineStr">
        <is>
          <t>N.D. Okla.</t>
        </is>
      </c>
      <c r="C14" s="7" t="inlineStr">
        <is>
          <t>2025</t>
        </is>
      </c>
      <c r="D14" s="7" t="inlineStr">
        <is>
          <t>Not a search (per press)</t>
        </is>
      </c>
      <c r="E14" s="7" t="inlineStr">
        <is>
          <t>Opinion not located</t>
        </is>
      </c>
      <c r="F14" s="7" t="inlineStr"/>
    </row>
    <row r="15">
      <c r="A15" s="7" t="inlineStr">
        <is>
          <t>United States v. Slaybaugh</t>
        </is>
      </c>
      <c r="B15" s="7" t="inlineStr">
        <is>
          <t>11th Cir. 25-14394</t>
        </is>
      </c>
      <c r="C15" s="7" t="inlineStr">
        <is>
          <t>pending</t>
        </is>
      </c>
      <c r="D15" s="7" t="inlineStr">
        <is>
          <t>Pending</t>
        </is>
      </c>
      <c r="E15" s="7" t="inlineStr">
        <is>
          <t>Amicus brief only; no record counts</t>
        </is>
      </c>
      <c r="F15" s="7" t="inlineStr">
        <is>
          <t>https://www.scag.gov/media/lfchsn1s/slaybaugh-amicus__as-filed.pdf</t>
        </is>
      </c>
    </row>
  </sheetData>
  <autoFilter ref="A1:F1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5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1" t="inlineStr">
        <is>
          <t>As of</t>
        </is>
      </c>
      <c r="B1" s="7" t="inlineStr">
        <is>
          <t>2026-10-05</t>
        </is>
      </c>
    </row>
    <row r="2">
      <c r="A2" s="11" t="inlineStr">
        <is>
          <t>Source tier a</t>
        </is>
      </c>
      <c r="B2" s="7" t="inlineStr">
        <is>
          <t>Figure appears in the opinion itself</t>
        </is>
      </c>
    </row>
    <row r="3">
      <c r="A3" s="11" t="inlineStr">
        <is>
          <t>Source tier b</t>
        </is>
      </c>
      <c r="B3" s="7" t="inlineStr">
        <is>
          <t>Party briefs, expert reports, other filings</t>
        </is>
      </c>
    </row>
    <row r="4">
      <c r="A4" s="11" t="inlineStr">
        <is>
          <t>Source tier c</t>
        </is>
      </c>
      <c r="B4" s="7" t="inlineStr">
        <is>
          <t>Press or advocacy; not a court finding</t>
        </is>
      </c>
    </row>
    <row r="5">
      <c r="A5" s="11" t="inlineStr">
        <is>
          <t>Per day [calc]</t>
        </is>
      </c>
      <c r="B5" s="7" t="inlineStr">
        <is>
          <t>Formula: Captures / Period (days). My arithmetic unless the court states a rate</t>
        </is>
      </c>
    </row>
    <row r="6">
      <c r="A6" s="11" t="inlineStr">
        <is>
          <t>Times sparser</t>
        </is>
      </c>
      <c r="B6" s="7" t="inlineStr">
        <is>
          <t>Formula: Carpenter per-day (row 2) / this row's per-day</t>
        </is>
      </c>
    </row>
    <row r="7">
      <c r="A7" s="11" t="inlineStr">
        <is>
          <t>Short records</t>
        </is>
      </c>
      <c r="B7" s="7" t="inlineStr">
        <is>
          <t>Period left blank (so no rate) for records under a week (Jackson, Mapson, Church, Yang, etc.): a one-day count is not comparable to a 127-day average. See Count as stated.</t>
        </is>
      </c>
    </row>
    <row r="8">
      <c r="A8" s="11" t="inlineStr">
        <is>
          <t>Still open</t>
        </is>
      </c>
      <c r="B8" s="7" t="inlineStr">
        <is>
          <t>4th Cir. Schmidt (not argued); 7th Cir. Scholl (argued, undecided); 11th Cir. Schemel; Porter cert 26-5121 (recheck); Simonson petition; possible Kyle appeal; Tan v. San Jose</t>
        </is>
      </c>
    </row>
    <row r="9">
      <c r="A9" s="11" t="inlineStr">
        <is>
          <t>Not reached</t>
        </is>
      </c>
      <c r="B9" s="7" t="inlineStr">
        <is>
          <t>CourtListener blocked: Kyle exhibit ECF 50-3, Schmidt Estevez report (Doc. 180-1), Acosta, Toombs, Porter (N.D. Ill.), Schemel opinion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2026-10-05T21:41:32Z</dcterms:created>
  <dcterms:modified xmlns:dcterms="http://purl.org/dc/terms/" xmlns:xsi="http://www.w3.org/2001/XMLSchema-instance" xsi:type="dcterms:W3CDTF">2026-10-05T21:41:32Z</dcterms:modified>
</cp:coreProperties>
</file>